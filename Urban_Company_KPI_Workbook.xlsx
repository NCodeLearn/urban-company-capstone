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d64d720df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-Category Data" sheetId="1" r:id="R2ae30301b7254db7"/>
    <x:sheet xmlns:r="http://schemas.openxmlformats.org/officeDocument/2006/relationships" name="Category Reference" sheetId="2" r:id="R221713e3b143461f"/>
    <x:sheet xmlns:r="http://schemas.openxmlformats.org/officeDocument/2006/relationships" name="Pivot Table" sheetId="3" r:id="R7ea95ec351e649f6"/>
    <x:sheet xmlns:r="http://schemas.openxmlformats.org/officeDocument/2006/relationships" name="KPI Summary" sheetId="4" r:id="R98fa6a5ce225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0" borderId="1" xfId="0" applyNumberFormat="1" applyFont="1" applyFill="1" applyBorder="1"/>
    <x:xf numFmtId="200" fontId="2" fillId="3" borderId="1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efec95c5b4b20" /><Relationship Type="http://schemas.openxmlformats.org/officeDocument/2006/relationships/theme" Target="/xl/theme/theme1.xml" Id="R80a9697eb6254921" /><Relationship Type="http://schemas.openxmlformats.org/officeDocument/2006/relationships/sharedStrings" Target="/xl/sharedStrings.xml" Id="Ra6311982645b4ab9" /><Relationship Type="http://schemas.openxmlformats.org/officeDocument/2006/relationships/worksheet" Target="/xl/worksheets/sheet1.xml" Id="R2ae30301b7254db7" /><Relationship Type="http://schemas.openxmlformats.org/officeDocument/2006/relationships/worksheet" Target="/xl/worksheets/sheet2.xml" Id="R221713e3b143461f" /><Relationship Type="http://schemas.openxmlformats.org/officeDocument/2006/relationships/worksheet" Target="/xl/worksheets/sheet3.xml" Id="R7ea95ec351e649f6" /><Relationship Type="http://schemas.openxmlformats.org/officeDocument/2006/relationships/worksheet" Target="/xl/worksheets/sheet4.xml" Id="R98fa6a5ce225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5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10" t="str">
        <x:v>city</x:v>
      </x:c>
      <x:c r="B1" s="10" t="str">
        <x:v>category</x:v>
      </x:c>
      <x:c r="C1" s="10" t="str">
        <x:v>bookings_count</x:v>
      </x:c>
      <x:c r="D1" s="10" t="str">
        <x:v>revenue_inr</x:v>
      </x:c>
      <x:c r="E1" s="10" t="str">
        <x:v>sla_breaches</x:v>
      </x:c>
      <x:c r="F1" s="10" t="str">
        <x:v>min_price_inr</x:v>
      </x:c>
      <x:c r="G1" s="10" t="str">
        <x:v>max_price_inr</x:v>
      </x:c>
    </x:row>
    <x:row r="2">
      <x:c r="A2" s="11" t="str">
        <x:v>Bengaluru</x:v>
      </x:c>
      <x:c r="B2" s="11" t="str">
        <x:v>AC Repair &amp; Service</x:v>
      </x:c>
      <x:c r="C2" s="11" t="str">
        <x:v>40</x:v>
      </x:c>
      <x:c r="D2" s="14" t="str">
        <x:v>61229</x:v>
      </x:c>
      <x:c r="E2" s="11" t="str">
        <x:v>7</x:v>
      </x:c>
      <x:c r="F2" s="14" t="n">
        <x:f>VLOOKUP(B2,'Category Reference'!$A$2:$C$7,2,FALSE)</x:f>
        <x:v>499</x:v>
      </x:c>
      <x:c r="G2" s="14" t="n">
        <x:f>VLOOKUP(B2,'Category Reference'!$A$2:$C$7,3,FALSE)</x:f>
        <x:v>2499</x:v>
      </x:c>
    </x:row>
    <x:row r="3">
      <x:c r="A3" s="11" t="str">
        <x:v>Bengaluru</x:v>
      </x:c>
      <x:c r="B3" s="11" t="str">
        <x:v>Deep Home Cleaning</x:v>
      </x:c>
      <x:c r="C3" s="11" t="str">
        <x:v>18</x:v>
      </x:c>
      <x:c r="D3" s="14" t="str">
        <x:v>49592</x:v>
      </x:c>
      <x:c r="E3" s="11" t="str">
        <x:v>2</x:v>
      </x:c>
      <x:c r="F3" s="14" t="n">
        <x:f>VLOOKUP(B3,'Category Reference'!$A$2:$C$7,2,FALSE)</x:f>
        <x:v>999</x:v>
      </x:c>
      <x:c r="G3" s="14" t="n">
        <x:f>VLOOKUP(B3,'Category Reference'!$A$2:$C$7,3,FALSE)</x:f>
        <x:v>4999</x:v>
      </x:c>
    </x:row>
    <x:row r="4">
      <x:c r="A4" s="11" t="str">
        <x:v>Bengaluru</x:v>
      </x:c>
      <x:c r="B4" s="11" t="str">
        <x:v>Electrical Repair</x:v>
      </x:c>
      <x:c r="C4" s="11" t="str">
        <x:v>19</x:v>
      </x:c>
      <x:c r="D4" s="14" t="str">
        <x:v>23082</x:v>
      </x:c>
      <x:c r="E4" s="11" t="str">
        <x:v>3</x:v>
      </x:c>
      <x:c r="F4" s="14" t="n">
        <x:f>VLOOKUP(B4,'Category Reference'!$A$2:$C$7,2,FALSE)</x:f>
        <x:v>199</x:v>
      </x:c>
      <x:c r="G4" s="14" t="n">
        <x:f>VLOOKUP(B4,'Category Reference'!$A$2:$C$7,3,FALSE)</x:f>
        <x:v>1999</x:v>
      </x:c>
    </x:row>
    <x:row r="5">
      <x:c r="A5" s="11" t="str">
        <x:v>Bengaluru</x:v>
      </x:c>
      <x:c r="B5" s="11" t="str">
        <x:v>Salon for Men</x:v>
      </x:c>
      <x:c r="C5" s="11" t="str">
        <x:v>14</x:v>
      </x:c>
      <x:c r="D5" s="14" t="str">
        <x:v>13565</x:v>
      </x:c>
      <x:c r="E5" s="11" t="str">
        <x:v>3</x:v>
      </x:c>
      <x:c r="F5" s="14" t="n">
        <x:f>VLOOKUP(B5,'Category Reference'!$A$2:$C$7,2,FALSE)</x:f>
        <x:v>349</x:v>
      </x:c>
      <x:c r="G5" s="14" t="n">
        <x:f>VLOOKUP(B5,'Category Reference'!$A$2:$C$7,3,FALSE)</x:f>
        <x:v>1499</x:v>
      </x:c>
    </x:row>
    <x:row r="6">
      <x:c r="A6" s="11" t="str">
        <x:v>Bengaluru</x:v>
      </x:c>
      <x:c r="B6" s="11" t="str">
        <x:v>Salon for Women</x:v>
      </x:c>
      <x:c r="C6" s="11" t="str">
        <x:v>16</x:v>
      </x:c>
      <x:c r="D6" s="14" t="str">
        <x:v>32367</x:v>
      </x:c>
      <x:c r="E6" s="11" t="str">
        <x:v>2</x:v>
      </x:c>
      <x:c r="F6" s="14" t="n">
        <x:f>VLOOKUP(B6,'Category Reference'!$A$2:$C$7,2,FALSE)</x:f>
        <x:v>699</x:v>
      </x:c>
      <x:c r="G6" s="14" t="n">
        <x:f>VLOOKUP(B6,'Category Reference'!$A$2:$C$7,3,FALSE)</x:f>
        <x:v>3499</x:v>
      </x:c>
    </x:row>
    <x:row r="7">
      <x:c r="A7" s="11" t="str">
        <x:v>Chennai</x:v>
      </x:c>
      <x:c r="B7" s="11" t="str">
        <x:v>Deep Home Cleaning</x:v>
      </x:c>
      <x:c r="C7" s="11" t="str">
        <x:v>37</x:v>
      </x:c>
      <x:c r="D7" s="14" t="str">
        <x:v>109499</x:v>
      </x:c>
      <x:c r="E7" s="11" t="str">
        <x:v>5</x:v>
      </x:c>
      <x:c r="F7" s="14" t="n">
        <x:f>VLOOKUP(B7,'Category Reference'!$A$2:$C$7,2,FALSE)</x:f>
        <x:v>999</x:v>
      </x:c>
      <x:c r="G7" s="14" t="n">
        <x:f>VLOOKUP(B7,'Category Reference'!$A$2:$C$7,3,FALSE)</x:f>
        <x:v>4999</x:v>
      </x:c>
    </x:row>
    <x:row r="8">
      <x:c r="A8" s="11" t="str">
        <x:v>Chennai</x:v>
      </x:c>
      <x:c r="B8" s="11" t="str">
        <x:v>Electrical Repair</x:v>
      </x:c>
      <x:c r="C8" s="11" t="str">
        <x:v>13</x:v>
      </x:c>
      <x:c r="D8" s="14" t="str">
        <x:v>13044</x:v>
      </x:c>
      <x:c r="E8" s="11" t="str">
        <x:v>1</x:v>
      </x:c>
      <x:c r="F8" s="14" t="n">
        <x:f>VLOOKUP(B8,'Category Reference'!$A$2:$C$7,2,FALSE)</x:f>
        <x:v>199</x:v>
      </x:c>
      <x:c r="G8" s="14" t="n">
        <x:f>VLOOKUP(B8,'Category Reference'!$A$2:$C$7,3,FALSE)</x:f>
        <x:v>1999</x:v>
      </x:c>
    </x:row>
    <x:row r="9">
      <x:c r="A9" s="11" t="str">
        <x:v>Chennai</x:v>
      </x:c>
      <x:c r="B9" s="11" t="str">
        <x:v>Plumbing</x:v>
      </x:c>
      <x:c r="C9" s="11" t="str">
        <x:v>63</x:v>
      </x:c>
      <x:c r="D9" s="14" t="str">
        <x:v>53029</x:v>
      </x:c>
      <x:c r="E9" s="11" t="str">
        <x:v>9</x:v>
      </x:c>
      <x:c r="F9" s="14" t="n">
        <x:f>VLOOKUP(B9,'Category Reference'!$A$2:$C$7,2,FALSE)</x:f>
        <x:v>199</x:v>
      </x:c>
      <x:c r="G9" s="14" t="n">
        <x:f>VLOOKUP(B9,'Category Reference'!$A$2:$C$7,3,FALSE)</x:f>
        <x:v>1499</x:v>
      </x:c>
    </x:row>
    <x:row r="10">
      <x:c r="A10" s="11" t="str">
        <x:v>Delhi NCR</x:v>
      </x:c>
      <x:c r="B10" s="11" t="str">
        <x:v>AC Repair &amp; Service</x:v>
      </x:c>
      <x:c r="C10" s="11" t="str">
        <x:v>14</x:v>
      </x:c>
      <x:c r="D10" s="14" t="str">
        <x:v>22760</x:v>
      </x:c>
      <x:c r="E10" s="11" t="str">
        <x:v>0</x:v>
      </x:c>
      <x:c r="F10" s="14" t="n">
        <x:f>VLOOKUP(B10,'Category Reference'!$A$2:$C$7,2,FALSE)</x:f>
        <x:v>499</x:v>
      </x:c>
      <x:c r="G10" s="14" t="n">
        <x:f>VLOOKUP(B10,'Category Reference'!$A$2:$C$7,3,FALSE)</x:f>
        <x:v>2499</x:v>
      </x:c>
    </x:row>
    <x:row r="11">
      <x:c r="A11" s="11" t="str">
        <x:v>Delhi NCR</x:v>
      </x:c>
      <x:c r="B11" s="11" t="str">
        <x:v>Deep Home Cleaning</x:v>
      </x:c>
      <x:c r="C11" s="11" t="str">
        <x:v>25</x:v>
      </x:c>
      <x:c r="D11" s="14" t="str">
        <x:v>63041</x:v>
      </x:c>
      <x:c r="E11" s="11" t="str">
        <x:v>0</x:v>
      </x:c>
      <x:c r="F11" s="14" t="n">
        <x:f>VLOOKUP(B11,'Category Reference'!$A$2:$C$7,2,FALSE)</x:f>
        <x:v>999</x:v>
      </x:c>
      <x:c r="G11" s="14" t="n">
        <x:f>VLOOKUP(B11,'Category Reference'!$A$2:$C$7,3,FALSE)</x:f>
        <x:v>4999</x:v>
      </x:c>
    </x:row>
    <x:row r="12">
      <x:c r="A12" s="11" t="str">
        <x:v>Delhi NCR</x:v>
      </x:c>
      <x:c r="B12" s="11" t="str">
        <x:v>Electrical Repair</x:v>
      </x:c>
      <x:c r="C12" s="11" t="str">
        <x:v>12</x:v>
      </x:c>
      <x:c r="D12" s="14" t="str">
        <x:v>12585</x:v>
      </x:c>
      <x:c r="E12" s="11" t="str">
        <x:v>1</x:v>
      </x:c>
      <x:c r="F12" s="14" t="n">
        <x:f>VLOOKUP(B12,'Category Reference'!$A$2:$C$7,2,FALSE)</x:f>
        <x:v>199</x:v>
      </x:c>
      <x:c r="G12" s="14" t="n">
        <x:f>VLOOKUP(B12,'Category Reference'!$A$2:$C$7,3,FALSE)</x:f>
        <x:v>1999</x:v>
      </x:c>
    </x:row>
    <x:row r="13">
      <x:c r="A13" s="11" t="str">
        <x:v>Delhi NCR</x:v>
      </x:c>
      <x:c r="B13" s="11" t="str">
        <x:v>Plumbing</x:v>
      </x:c>
      <x:c r="C13" s="11" t="str">
        <x:v>19</x:v>
      </x:c>
      <x:c r="D13" s="14" t="str">
        <x:v>16065</x:v>
      </x:c>
      <x:c r="E13" s="11" t="str">
        <x:v>3</x:v>
      </x:c>
      <x:c r="F13" s="14" t="n">
        <x:f>VLOOKUP(B13,'Category Reference'!$A$2:$C$7,2,FALSE)</x:f>
        <x:v>199</x:v>
      </x:c>
      <x:c r="G13" s="14" t="n">
        <x:f>VLOOKUP(B13,'Category Reference'!$A$2:$C$7,3,FALSE)</x:f>
        <x:v>1499</x:v>
      </x:c>
    </x:row>
    <x:row r="14">
      <x:c r="A14" s="11" t="str">
        <x:v>Delhi NCR</x:v>
      </x:c>
      <x:c r="B14" s="11" t="str">
        <x:v>Salon for Women</x:v>
      </x:c>
      <x:c r="C14" s="11" t="str">
        <x:v>13</x:v>
      </x:c>
      <x:c r="D14" s="14" t="str">
        <x:v>26320</x:v>
      </x:c>
      <x:c r="E14" s="11" t="str">
        <x:v>2</x:v>
      </x:c>
      <x:c r="F14" s="14" t="n">
        <x:f>VLOOKUP(B14,'Category Reference'!$A$2:$C$7,2,FALSE)</x:f>
        <x:v>699</x:v>
      </x:c>
      <x:c r="G14" s="14" t="n">
        <x:f>VLOOKUP(B14,'Category Reference'!$A$2:$C$7,3,FALSE)</x:f>
        <x:v>3499</x:v>
      </x:c>
    </x:row>
    <x:row r="15">
      <x:c r="A15" s="11" t="str">
        <x:v>Hyderabad</x:v>
      </x:c>
      <x:c r="B15" s="11" t="str">
        <x:v>Deep Home Cleaning</x:v>
      </x:c>
      <x:c r="C15" s="11" t="str">
        <x:v>29</x:v>
      </x:c>
      <x:c r="D15" s="14" t="str">
        <x:v>91425</x:v>
      </x:c>
      <x:c r="E15" s="11" t="str">
        <x:v>4</x:v>
      </x:c>
      <x:c r="F15" s="14" t="n">
        <x:f>VLOOKUP(B15,'Category Reference'!$A$2:$C$7,2,FALSE)</x:f>
        <x:v>999</x:v>
      </x:c>
      <x:c r="G15" s="14" t="n">
        <x:f>VLOOKUP(B15,'Category Reference'!$A$2:$C$7,3,FALSE)</x:f>
        <x:v>4999</x:v>
      </x:c>
    </x:row>
    <x:row r="16">
      <x:c r="A16" s="11" t="str">
        <x:v>Hyderabad</x:v>
      </x:c>
      <x:c r="B16" s="11" t="str">
        <x:v>Electrical Repair</x:v>
      </x:c>
      <x:c r="C16" s="11" t="str">
        <x:v>27</x:v>
      </x:c>
      <x:c r="D16" s="14" t="str">
        <x:v>29032</x:v>
      </x:c>
      <x:c r="E16" s="11" t="str">
        <x:v>3</x:v>
      </x:c>
      <x:c r="F16" s="14" t="n">
        <x:f>VLOOKUP(B16,'Category Reference'!$A$2:$C$7,2,FALSE)</x:f>
        <x:v>199</x:v>
      </x:c>
      <x:c r="G16" s="14" t="n">
        <x:f>VLOOKUP(B16,'Category Reference'!$A$2:$C$7,3,FALSE)</x:f>
        <x:v>1999</x:v>
      </x:c>
    </x:row>
    <x:row r="17">
      <x:c r="A17" s="11" t="str">
        <x:v>Hyderabad</x:v>
      </x:c>
      <x:c r="B17" s="11" t="str">
        <x:v>Plumbing</x:v>
      </x:c>
      <x:c r="C17" s="11" t="str">
        <x:v>13</x:v>
      </x:c>
      <x:c r="D17" s="14" t="str">
        <x:v>11743</x:v>
      </x:c>
      <x:c r="E17" s="11" t="str">
        <x:v>1</x:v>
      </x:c>
      <x:c r="F17" s="14" t="n">
        <x:f>VLOOKUP(B17,'Category Reference'!$A$2:$C$7,2,FALSE)</x:f>
        <x:v>199</x:v>
      </x:c>
      <x:c r="G17" s="14" t="n">
        <x:f>VLOOKUP(B17,'Category Reference'!$A$2:$C$7,3,FALSE)</x:f>
        <x:v>1499</x:v>
      </x:c>
    </x:row>
    <x:row r="18">
      <x:c r="A18" s="11" t="str">
        <x:v>Hyderabad</x:v>
      </x:c>
      <x:c r="B18" s="11" t="str">
        <x:v>Salon for Men</x:v>
      </x:c>
      <x:c r="C18" s="11" t="str">
        <x:v>23</x:v>
      </x:c>
      <x:c r="D18" s="14" t="str">
        <x:v>22289</x:v>
      </x:c>
      <x:c r="E18" s="11" t="str">
        <x:v>5</x:v>
      </x:c>
      <x:c r="F18" s="14" t="n">
        <x:f>VLOOKUP(B18,'Category Reference'!$A$2:$C$7,2,FALSE)</x:f>
        <x:v>349</x:v>
      </x:c>
      <x:c r="G18" s="14" t="n">
        <x:f>VLOOKUP(B18,'Category Reference'!$A$2:$C$7,3,FALSE)</x:f>
        <x:v>1499</x:v>
      </x:c>
    </x:row>
    <x:row r="19">
      <x:c r="A19" s="11" t="str">
        <x:v>Hyderabad</x:v>
      </x:c>
      <x:c r="B19" s="11" t="str">
        <x:v>Salon for Women</x:v>
      </x:c>
      <x:c r="C19" s="11" t="str">
        <x:v>6</x:v>
      </x:c>
      <x:c r="D19" s="14" t="str">
        <x:v>17149</x:v>
      </x:c>
      <x:c r="E19" s="11" t="str">
        <x:v>1</x:v>
      </x:c>
      <x:c r="F19" s="14" t="n">
        <x:f>VLOOKUP(B19,'Category Reference'!$A$2:$C$7,2,FALSE)</x:f>
        <x:v>699</x:v>
      </x:c>
      <x:c r="G19" s="14" t="n">
        <x:f>VLOOKUP(B19,'Category Reference'!$A$2:$C$7,3,FALSE)</x:f>
        <x:v>3499</x:v>
      </x:c>
    </x:row>
    <x:row r="20">
      <x:c r="A20" s="11" t="str">
        <x:v>Mumbai</x:v>
      </x:c>
      <x:c r="B20" s="11" t="str">
        <x:v>AC Repair &amp; Service</x:v>
      </x:c>
      <x:c r="C20" s="11" t="str">
        <x:v>20</x:v>
      </x:c>
      <x:c r="D20" s="14" t="str">
        <x:v>29050</x:v>
      </x:c>
      <x:c r="E20" s="11" t="str">
        <x:v>4</x:v>
      </x:c>
      <x:c r="F20" s="14" t="n">
        <x:f>VLOOKUP(B20,'Category Reference'!$A$2:$C$7,2,FALSE)</x:f>
        <x:v>499</x:v>
      </x:c>
      <x:c r="G20" s="14" t="n">
        <x:f>VLOOKUP(B20,'Category Reference'!$A$2:$C$7,3,FALSE)</x:f>
        <x:v>2499</x:v>
      </x:c>
    </x:row>
    <x:row r="21">
      <x:c r="A21" s="11" t="str">
        <x:v>Mumbai</x:v>
      </x:c>
      <x:c r="B21" s="11" t="str">
        <x:v>Deep Home Cleaning</x:v>
      </x:c>
      <x:c r="C21" s="11" t="str">
        <x:v>28</x:v>
      </x:c>
      <x:c r="D21" s="14" t="str">
        <x:v>73938</x:v>
      </x:c>
      <x:c r="E21" s="11" t="str">
        <x:v>1</x:v>
      </x:c>
      <x:c r="F21" s="14" t="n">
        <x:f>VLOOKUP(B21,'Category Reference'!$A$2:$C$7,2,FALSE)</x:f>
        <x:v>999</x:v>
      </x:c>
      <x:c r="G21" s="14" t="n">
        <x:f>VLOOKUP(B21,'Category Reference'!$A$2:$C$7,3,FALSE)</x:f>
        <x:v>4999</x:v>
      </x:c>
    </x:row>
    <x:row r="22">
      <x:c r="A22" s="11" t="str">
        <x:v>Mumbai</x:v>
      </x:c>
      <x:c r="B22" s="11" t="str">
        <x:v>Electrical Repair</x:v>
      </x:c>
      <x:c r="C22" s="11" t="str">
        <x:v>11</x:v>
      </x:c>
      <x:c r="D22" s="14" t="str">
        <x:v>11360</x:v>
      </x:c>
      <x:c r="E22" s="11" t="str">
        <x:v>2</x:v>
      </x:c>
      <x:c r="F22" s="14" t="n">
        <x:f>VLOOKUP(B22,'Category Reference'!$A$2:$C$7,2,FALSE)</x:f>
        <x:v>199</x:v>
      </x:c>
      <x:c r="G22" s="14" t="n">
        <x:f>VLOOKUP(B22,'Category Reference'!$A$2:$C$7,3,FALSE)</x:f>
        <x:v>1999</x:v>
      </x:c>
    </x:row>
    <x:row r="23">
      <x:c r="A23" s="11" t="str">
        <x:v>Mumbai</x:v>
      </x:c>
      <x:c r="B23" s="11" t="str">
        <x:v>Salon for Men</x:v>
      </x:c>
      <x:c r="C23" s="11" t="str">
        <x:v>27</x:v>
      </x:c>
      <x:c r="D23" s="14" t="str">
        <x:v>23901</x:v>
      </x:c>
      <x:c r="E23" s="11" t="str">
        <x:v>5</x:v>
      </x:c>
      <x:c r="F23" s="14" t="n">
        <x:f>VLOOKUP(B23,'Category Reference'!$A$2:$C$7,2,FALSE)</x:f>
        <x:v>349</x:v>
      </x:c>
      <x:c r="G23" s="14" t="n">
        <x:f>VLOOKUP(B23,'Category Reference'!$A$2:$C$7,3,FALSE)</x:f>
        <x:v>1499</x:v>
      </x:c>
    </x:row>
    <x:row r="24">
      <x:c r="A24" s="11" t="str">
        <x:v>Mumbai</x:v>
      </x:c>
      <x:c r="B24" s="11" t="str">
        <x:v>Salon for Women</x:v>
      </x:c>
      <x:c r="C24" s="11" t="str">
        <x:v>6</x:v>
      </x:c>
      <x:c r="D24" s="14" t="str">
        <x:v>13181</x:v>
      </x:c>
      <x:c r="E24" s="11" t="str">
        <x:v>1</x:v>
      </x:c>
      <x:c r="F24" s="14" t="n">
        <x:f>VLOOKUP(B24,'Category Reference'!$A$2:$C$7,2,FALSE)</x:f>
        <x:v>699</x:v>
      </x:c>
      <x:c r="G24" s="14" t="n">
        <x:f>VLOOKUP(B24,'Category Reference'!$A$2:$C$7,3,FALSE)</x:f>
        <x:v>3499</x:v>
      </x:c>
    </x:row>
    <x:row r="25">
      <x:c r="A25" s="11" t="str">
        <x:v>Pune</x:v>
      </x:c>
      <x:c r="B25" s="11" t="str">
        <x:v>Deep Home Cleaning</x:v>
      </x:c>
      <x:c r="C25" s="11" t="str">
        <x:v>39</x:v>
      </x:c>
      <x:c r="D25" s="14" t="str">
        <x:v>121469</x:v>
      </x:c>
      <x:c r="E25" s="11" t="str">
        <x:v>9</x:v>
      </x:c>
      <x:c r="F25" s="14" t="n">
        <x:f>VLOOKUP(B25,'Category Reference'!$A$2:$C$7,2,FALSE)</x:f>
        <x:v>999</x:v>
      </x:c>
      <x:c r="G25" s="14" t="n">
        <x:f>VLOOKUP(B25,'Category Reference'!$A$2:$C$7,3,FALSE)</x:f>
        <x:v>4999</x:v>
      </x:c>
    </x:row>
    <x:row r="26">
      <x:c r="A26" s="11" t="str">
        <x:v>Pune</x:v>
      </x:c>
      <x:c r="B26" s="11" t="str">
        <x:v>Electrical Repair</x:v>
      </x:c>
      <x:c r="C26" s="11" t="str">
        <x:v>30</x:v>
      </x:c>
      <x:c r="D26" s="14" t="str">
        <x:v>30778</x:v>
      </x:c>
      <x:c r="E26" s="11" t="str">
        <x:v>3</x:v>
      </x:c>
      <x:c r="F26" s="14" t="n">
        <x:f>VLOOKUP(B26,'Category Reference'!$A$2:$C$7,2,FALSE)</x:f>
        <x:v>199</x:v>
      </x:c>
      <x:c r="G26" s="14" t="n">
        <x:f>VLOOKUP(B26,'Category Reference'!$A$2:$C$7,3,FALSE)</x:f>
        <x:v>1999</x:v>
      </x:c>
    </x:row>
    <x:row r="27">
      <x:c r="A27" s="11" t="str">
        <x:v>Pune</x:v>
      </x:c>
      <x:c r="B27" s="11" t="str">
        <x:v>Salon for Men</x:v>
      </x:c>
      <x:c r="C27" s="11" t="str">
        <x:v>14</x:v>
      </x:c>
      <x:c r="D27" s="14" t="str">
        <x:v>13808</x:v>
      </x:c>
      <x:c r="E27" s="11" t="str">
        <x:v>1</x:v>
      </x:c>
      <x:c r="F27" s="14" t="n">
        <x:f>VLOOKUP(B27,'Category Reference'!$A$2:$C$7,2,FALSE)</x:f>
        <x:v>349</x:v>
      </x:c>
      <x:c r="G27" s="14" t="n">
        <x:f>VLOOKUP(B27,'Category Reference'!$A$2:$C$7,3,FALSE)</x:f>
        <x:v>1499</x:v>
      </x:c>
    </x:row>
    <x:row r="28">
      <x:c r="A28" s="11" t="str">
        <x:v>Pune</x:v>
      </x:c>
      <x:c r="B28" s="11" t="str">
        <x:v>Salon for Women</x:v>
      </x:c>
      <x:c r="C28" s="11" t="str">
        <x:v>24</x:v>
      </x:c>
      <x:c r="D28" s="14" t="str">
        <x:v>62672</x:v>
      </x:c>
      <x:c r="E28" s="11" t="str">
        <x:v>1</x:v>
      </x:c>
      <x:c r="F28" s="14" t="n">
        <x:f>VLOOKUP(B28,'Category Reference'!$A$2:$C$7,2,FALSE)</x:f>
        <x:v>699</x:v>
      </x:c>
      <x:c r="G28" s="14" t="n">
        <x:f>VLOOKUP(B28,'Category Reference'!$A$2:$C$7,3,FALSE)</x:f>
        <x:v>3499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</x:cols>
  <x:sheetData>
    <x:row r="1">
      <x:c r="A1" s="5" t="str">
        <x:v>category</x:v>
      </x:c>
      <x:c r="B1" s="5" t="str">
        <x:v>min_price_inr</x:v>
      </x:c>
      <x:c r="C1" s="5" t="str">
        <x:v>max_price_inr</x:v>
      </x:c>
    </x:row>
    <x:row r="2">
      <x:c r="A2" t="str">
        <x:v>AC Repair &amp; Service</x:v>
      </x:c>
      <x:c r="B2" s="16" t="n">
        <x:v>499</x:v>
      </x:c>
      <x:c r="C2" s="16" t="n">
        <x:v>2499</x:v>
      </x:c>
    </x:row>
    <x:row r="3">
      <x:c r="A3" t="str">
        <x:v>Salon for Women</x:v>
      </x:c>
      <x:c r="B3" s="16" t="n">
        <x:v>699</x:v>
      </x:c>
      <x:c r="C3" s="16" t="n">
        <x:v>3499</x:v>
      </x:c>
    </x:row>
    <x:row r="4">
      <x:c r="A4" t="str">
        <x:v>Salon for Men</x:v>
      </x:c>
      <x:c r="B4" s="16" t="n">
        <x:v>349</x:v>
      </x:c>
      <x:c r="C4" s="16" t="n">
        <x:v>1499</x:v>
      </x:c>
    </x:row>
    <x:row r="5">
      <x:c r="A5" t="str">
        <x:v>Deep Home Cleaning</x:v>
      </x:c>
      <x:c r="B5" s="16" t="n">
        <x:v>999</x:v>
      </x:c>
      <x:c r="C5" s="16" t="n">
        <x:v>4999</x:v>
      </x:c>
    </x:row>
    <x:row r="6">
      <x:c r="A6" t="str">
        <x:v>Plumbing</x:v>
      </x:c>
      <x:c r="B6" s="16" t="n">
        <x:v>199</x:v>
      </x:c>
      <x:c r="C6" s="16" t="n">
        <x:v>1499</x:v>
      </x:c>
    </x:row>
    <x:row r="7">
      <x:c r="A7" t="str">
        <x:v>Electrical Repair</x:v>
      </x:c>
      <x:c r="B7" s="16" t="n">
        <x:v>199</x:v>
      </x:c>
      <x:c r="C7" s="16" t="n">
        <x:v>1999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</x:cols>
  <x:sheetData>
    <x:row r="1">
      <x:c r="A1" s="10" t="str">
        <x:v>city</x:v>
      </x:c>
      <x:c r="B1" s="10" t="str">
        <x:v>AC Repair &amp; Service</x:v>
      </x:c>
      <x:c r="C1" s="10" t="str">
        <x:v>Deep Home Cleaning</x:v>
      </x:c>
      <x:c r="D1" s="10" t="str">
        <x:v>Electrical Repair</x:v>
      </x:c>
      <x:c r="E1" s="10" t="str">
        <x:v>Plumbing</x:v>
      </x:c>
      <x:c r="F1" s="10" t="str">
        <x:v>Salon for Men</x:v>
      </x:c>
      <x:c r="G1" s="10" t="str">
        <x:v>Salon for Women</x:v>
      </x:c>
      <x:c r="H1" s="10" t="str">
        <x:v>Grand Total</x:v>
      </x:c>
    </x:row>
    <x:row r="2">
      <x:c r="A2" s="11" t="str">
        <x:v>Bengaluru</x:v>
      </x:c>
      <x:c r="B2" s="14" t="n">
        <x:f>SUMIFS('City-Category Data'!$D$2:$D$28,'City-Category Data'!$A$2:$A$28,$A2,'City-Category Data'!$B$2:$B$28,B$1)</x:f>
        <x:v>61229</x:v>
      </x:c>
      <x:c r="C2" s="14" t="n">
        <x:f>SUMIFS('City-Category Data'!$D$2:$D$28,'City-Category Data'!$A$2:$A$28,$A2,'City-Category Data'!$B$2:$B$28,C$1)</x:f>
        <x:v>49592</x:v>
      </x:c>
      <x:c r="D2" s="14" t="n">
        <x:f>SUMIFS('City-Category Data'!$D$2:$D$28,'City-Category Data'!$A$2:$A$28,$A2,'City-Category Data'!$B$2:$B$28,D$1)</x:f>
        <x:v>23082</x:v>
      </x:c>
      <x:c r="E2" s="14" t="n">
        <x:f>SUMIFS('City-Category Data'!$D$2:$D$28,'City-Category Data'!$A$2:$A$28,$A2,'City-Category Data'!$B$2:$B$28,E$1)</x:f>
        <x:v>0</x:v>
      </x:c>
      <x:c r="F2" s="14" t="n">
        <x:f>SUMIFS('City-Category Data'!$D$2:$D$28,'City-Category Data'!$A$2:$A$28,$A2,'City-Category Data'!$B$2:$B$28,F$1)</x:f>
        <x:v>13565</x:v>
      </x:c>
      <x:c r="G2" s="14" t="n">
        <x:f>SUMIFS('City-Category Data'!$D$2:$D$28,'City-Category Data'!$A$2:$A$28,$A2,'City-Category Data'!$B$2:$B$28,G$1)</x:f>
        <x:v>32367</x:v>
      </x:c>
      <x:c r="H2" s="28" t="n">
        <x:f>SUM(B2:G2)</x:f>
        <x:v>179835</x:v>
      </x:c>
    </x:row>
    <x:row r="3">
      <x:c r="A3" s="11" t="str">
        <x:v>Chennai</x:v>
      </x:c>
      <x:c r="B3" s="14" t="n">
        <x:f>SUMIFS('City-Category Data'!$D$2:$D$28,'City-Category Data'!$A$2:$A$28,$A3,'City-Category Data'!$B$2:$B$28,B$1)</x:f>
        <x:v>0</x:v>
      </x:c>
      <x:c r="C3" s="14" t="n">
        <x:f>SUMIFS('City-Category Data'!$D$2:$D$28,'City-Category Data'!$A$2:$A$28,$A3,'City-Category Data'!$B$2:$B$28,C$1)</x:f>
        <x:v>109499</x:v>
      </x:c>
      <x:c r="D3" s="14" t="n">
        <x:f>SUMIFS('City-Category Data'!$D$2:$D$28,'City-Category Data'!$A$2:$A$28,$A3,'City-Category Data'!$B$2:$B$28,D$1)</x:f>
        <x:v>13044</x:v>
      </x:c>
      <x:c r="E3" s="14" t="n">
        <x:f>SUMIFS('City-Category Data'!$D$2:$D$28,'City-Category Data'!$A$2:$A$28,$A3,'City-Category Data'!$B$2:$B$28,E$1)</x:f>
        <x:v>53029</x:v>
      </x:c>
      <x:c r="F3" s="14" t="n">
        <x:f>SUMIFS('City-Category Data'!$D$2:$D$28,'City-Category Data'!$A$2:$A$28,$A3,'City-Category Data'!$B$2:$B$28,F$1)</x:f>
        <x:v>0</x:v>
      </x:c>
      <x:c r="G3" s="14" t="n">
        <x:f>SUMIFS('City-Category Data'!$D$2:$D$28,'City-Category Data'!$A$2:$A$28,$A3,'City-Category Data'!$B$2:$B$28,G$1)</x:f>
        <x:v>0</x:v>
      </x:c>
      <x:c r="H3" s="28" t="n">
        <x:f>SUM(B3:G3)</x:f>
        <x:v>175572</x:v>
      </x:c>
    </x:row>
    <x:row r="4">
      <x:c r="A4" s="11" t="str">
        <x:v>Delhi NCR</x:v>
      </x:c>
      <x:c r="B4" s="14" t="n">
        <x:f>SUMIFS('City-Category Data'!$D$2:$D$28,'City-Category Data'!$A$2:$A$28,$A4,'City-Category Data'!$B$2:$B$28,B$1)</x:f>
        <x:v>22760</x:v>
      </x:c>
      <x:c r="C4" s="14" t="n">
        <x:f>SUMIFS('City-Category Data'!$D$2:$D$28,'City-Category Data'!$A$2:$A$28,$A4,'City-Category Data'!$B$2:$B$28,C$1)</x:f>
        <x:v>63041</x:v>
      </x:c>
      <x:c r="D4" s="14" t="n">
        <x:f>SUMIFS('City-Category Data'!$D$2:$D$28,'City-Category Data'!$A$2:$A$28,$A4,'City-Category Data'!$B$2:$B$28,D$1)</x:f>
        <x:v>12585</x:v>
      </x:c>
      <x:c r="E4" s="14" t="n">
        <x:f>SUMIFS('City-Category Data'!$D$2:$D$28,'City-Category Data'!$A$2:$A$28,$A4,'City-Category Data'!$B$2:$B$28,E$1)</x:f>
        <x:v>16065</x:v>
      </x:c>
      <x:c r="F4" s="14" t="n">
        <x:f>SUMIFS('City-Category Data'!$D$2:$D$28,'City-Category Data'!$A$2:$A$28,$A4,'City-Category Data'!$B$2:$B$28,F$1)</x:f>
        <x:v>0</x:v>
      </x:c>
      <x:c r="G4" s="14" t="n">
        <x:f>SUMIFS('City-Category Data'!$D$2:$D$28,'City-Category Data'!$A$2:$A$28,$A4,'City-Category Data'!$B$2:$B$28,G$1)</x:f>
        <x:v>26320</x:v>
      </x:c>
      <x:c r="H4" s="28" t="n">
        <x:f>SUM(B4:G4)</x:f>
        <x:v>140771</x:v>
      </x:c>
    </x:row>
    <x:row r="5">
      <x:c r="A5" s="11" t="str">
        <x:v>Hyderabad</x:v>
      </x:c>
      <x:c r="B5" s="14" t="n">
        <x:f>SUMIFS('City-Category Data'!$D$2:$D$28,'City-Category Data'!$A$2:$A$28,$A5,'City-Category Data'!$B$2:$B$28,B$1)</x:f>
        <x:v>0</x:v>
      </x:c>
      <x:c r="C5" s="14" t="n">
        <x:f>SUMIFS('City-Category Data'!$D$2:$D$28,'City-Category Data'!$A$2:$A$28,$A5,'City-Category Data'!$B$2:$B$28,C$1)</x:f>
        <x:v>91425</x:v>
      </x:c>
      <x:c r="D5" s="14" t="n">
        <x:f>SUMIFS('City-Category Data'!$D$2:$D$28,'City-Category Data'!$A$2:$A$28,$A5,'City-Category Data'!$B$2:$B$28,D$1)</x:f>
        <x:v>29032</x:v>
      </x:c>
      <x:c r="E5" s="14" t="n">
        <x:f>SUMIFS('City-Category Data'!$D$2:$D$28,'City-Category Data'!$A$2:$A$28,$A5,'City-Category Data'!$B$2:$B$28,E$1)</x:f>
        <x:v>11743</x:v>
      </x:c>
      <x:c r="F5" s="14" t="n">
        <x:f>SUMIFS('City-Category Data'!$D$2:$D$28,'City-Category Data'!$A$2:$A$28,$A5,'City-Category Data'!$B$2:$B$28,F$1)</x:f>
        <x:v>22289</x:v>
      </x:c>
      <x:c r="G5" s="14" t="n">
        <x:f>SUMIFS('City-Category Data'!$D$2:$D$28,'City-Category Data'!$A$2:$A$28,$A5,'City-Category Data'!$B$2:$B$28,G$1)</x:f>
        <x:v>17149</x:v>
      </x:c>
      <x:c r="H5" s="28" t="n">
        <x:f>SUM(B5:G5)</x:f>
        <x:v>171638</x:v>
      </x:c>
    </x:row>
    <x:row r="6">
      <x:c r="A6" s="11" t="str">
        <x:v>Mumbai</x:v>
      </x:c>
      <x:c r="B6" s="14" t="n">
        <x:f>SUMIFS('City-Category Data'!$D$2:$D$28,'City-Category Data'!$A$2:$A$28,$A6,'City-Category Data'!$B$2:$B$28,B$1)</x:f>
        <x:v>29050</x:v>
      </x:c>
      <x:c r="C6" s="14" t="n">
        <x:f>SUMIFS('City-Category Data'!$D$2:$D$28,'City-Category Data'!$A$2:$A$28,$A6,'City-Category Data'!$B$2:$B$28,C$1)</x:f>
        <x:v>73938</x:v>
      </x:c>
      <x:c r="D6" s="14" t="n">
        <x:f>SUMIFS('City-Category Data'!$D$2:$D$28,'City-Category Data'!$A$2:$A$28,$A6,'City-Category Data'!$B$2:$B$28,D$1)</x:f>
        <x:v>11360</x:v>
      </x:c>
      <x:c r="E6" s="14" t="n">
        <x:f>SUMIFS('City-Category Data'!$D$2:$D$28,'City-Category Data'!$A$2:$A$28,$A6,'City-Category Data'!$B$2:$B$28,E$1)</x:f>
        <x:v>0</x:v>
      </x:c>
      <x:c r="F6" s="14" t="n">
        <x:f>SUMIFS('City-Category Data'!$D$2:$D$28,'City-Category Data'!$A$2:$A$28,$A6,'City-Category Data'!$B$2:$B$28,F$1)</x:f>
        <x:v>23901</x:v>
      </x:c>
      <x:c r="G6" s="14" t="n">
        <x:f>SUMIFS('City-Category Data'!$D$2:$D$28,'City-Category Data'!$A$2:$A$28,$A6,'City-Category Data'!$B$2:$B$28,G$1)</x:f>
        <x:v>13181</x:v>
      </x:c>
      <x:c r="H6" s="28" t="n">
        <x:f>SUM(B6:G6)</x:f>
        <x:v>151430</x:v>
      </x:c>
    </x:row>
    <x:row r="7">
      <x:c r="A7" s="11" t="str">
        <x:v>Pune</x:v>
      </x:c>
      <x:c r="B7" s="14" t="n">
        <x:f>SUMIFS('City-Category Data'!$D$2:$D$28,'City-Category Data'!$A$2:$A$28,$A7,'City-Category Data'!$B$2:$B$28,B$1)</x:f>
        <x:v>0</x:v>
      </x:c>
      <x:c r="C7" s="14" t="n">
        <x:f>SUMIFS('City-Category Data'!$D$2:$D$28,'City-Category Data'!$A$2:$A$28,$A7,'City-Category Data'!$B$2:$B$28,C$1)</x:f>
        <x:v>121469</x:v>
      </x:c>
      <x:c r="D7" s="14" t="n">
        <x:f>SUMIFS('City-Category Data'!$D$2:$D$28,'City-Category Data'!$A$2:$A$28,$A7,'City-Category Data'!$B$2:$B$28,D$1)</x:f>
        <x:v>30778</x:v>
      </x:c>
      <x:c r="E7" s="14" t="n">
        <x:f>SUMIFS('City-Category Data'!$D$2:$D$28,'City-Category Data'!$A$2:$A$28,$A7,'City-Category Data'!$B$2:$B$28,E$1)</x:f>
        <x:v>0</x:v>
      </x:c>
      <x:c r="F7" s="14" t="n">
        <x:f>SUMIFS('City-Category Data'!$D$2:$D$28,'City-Category Data'!$A$2:$A$28,$A7,'City-Category Data'!$B$2:$B$28,F$1)</x:f>
        <x:v>13808</x:v>
      </x:c>
      <x:c r="G7" s="14" t="n">
        <x:f>SUMIFS('City-Category Data'!$D$2:$D$28,'City-Category Data'!$A$2:$A$28,$A7,'City-Category Data'!$B$2:$B$28,G$1)</x:f>
        <x:v>62672</x:v>
      </x:c>
      <x:c r="H7" s="28" t="n">
        <x:f>SUM(B7:G7)</x:f>
        <x:v>228727</x:v>
      </x:c>
    </x:row>
    <x:row r="8">
      <x:c r="A8" s="29" t="str">
        <x:v>Grand Total</x:v>
      </x:c>
      <x:c r="B8" s="30" t="n">
        <x:f>SUM(B2:B7)</x:f>
        <x:v>113039</x:v>
      </x:c>
      <x:c r="C8" s="30" t="n">
        <x:f>SUM(C2:C7)</x:f>
        <x:v>508964</x:v>
      </x:c>
      <x:c r="D8" s="30" t="n">
        <x:f>SUM(D2:D7)</x:f>
        <x:v>119881</x:v>
      </x:c>
      <x:c r="E8" s="30" t="n">
        <x:f>SUM(E2:E7)</x:f>
        <x:v>80837</x:v>
      </x:c>
      <x:c r="F8" s="30" t="n">
        <x:f>SUM(F2:F7)</x:f>
        <x:v>73563</x:v>
      </x:c>
      <x:c r="G8" s="30" t="n">
        <x:f>SUM(G2:G7)</x:f>
        <x:v>151689</x:v>
      </x:c>
      <x:c r="H8" s="30" t="n">
        <x:f>SUM(H2:H7)</x:f>
        <x:v>1047973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0" hidden="0" customWidth="1"/>
    <x:col min="5" max="5" width="16" hidden="0" customWidth="1"/>
    <x:col min="6" max="6" width="24" hidden="0" customWidth="1"/>
  </x:cols>
  <x:sheetData>
    <x:row r="1">
      <x:c r="A1" s="10" t="str">
        <x:v>City</x:v>
      </x:c>
      <x:c r="B1" s="10" t="str">
        <x:v>Total Revenue</x:v>
      </x:c>
      <x:c r="C1" s="10" t="str">
        <x:v>Total SLA Breaches</x:v>
      </x:c>
      <x:c r="D1" s="10" t="str">
        <x:v>City-Category Combination Count</x:v>
      </x:c>
      <x:c r="E1" s="10" t="str">
        <x:v>Part A SQL Total</x:v>
      </x:c>
      <x:c r="F1" s="10" t="str">
        <x:v>Matches Part A SQL total?</x:v>
      </x:c>
    </x:row>
    <x:row r="2">
      <x:c r="A2" s="11" t="str">
        <x:v>Pune</x:v>
      </x:c>
      <x:c r="B2" s="14" t="n">
        <x:f>SUMIFS('City-Category Data'!$D$2:$D$28,'City-Category Data'!$A$2:$A$28,A2)</x:f>
        <x:v>228727</x:v>
      </x:c>
      <x:c r="C2" s="11" t="n">
        <x:f>SUMIFS('City-Category Data'!$E$2:$E$28,'City-Category Data'!$A$2:$A$28,A2)</x:f>
        <x:v>14</x:v>
      </x:c>
      <x:c r="D2" s="11" t="n">
        <x:f>COUNTIFS('City-Category Data'!$A$2:$A$28,A2)</x:f>
        <x:v>4</x:v>
      </x:c>
      <x:c r="E2" s="14" t="n">
        <x:v>228727</x:v>
      </x:c>
      <x:c r="F2" s="11" t="str">
        <x:f>IF(B2=E2,"Yes","No")</x:f>
        <x:v>Yes</x:v>
      </x:c>
    </x:row>
    <x:row r="3">
      <x:c r="A3" s="11" t="str">
        <x:v>Bengaluru</x:v>
      </x:c>
      <x:c r="B3" s="14" t="n">
        <x:f>SUMIFS('City-Category Data'!$D$2:$D$28,'City-Category Data'!$A$2:$A$28,A3)</x:f>
        <x:v>179835</x:v>
      </x:c>
      <x:c r="C3" s="11" t="n">
        <x:f>SUMIFS('City-Category Data'!$E$2:$E$28,'City-Category Data'!$A$2:$A$28,A3)</x:f>
        <x:v>17</x:v>
      </x:c>
      <x:c r="D3" s="11" t="n">
        <x:f>COUNTIFS('City-Category Data'!$A$2:$A$28,A3)</x:f>
        <x:v>5</x:v>
      </x:c>
      <x:c r="E3" s="14" t="n">
        <x:v>179835</x:v>
      </x:c>
      <x:c r="F3" s="11" t="str">
        <x:f>IF(B3=E3,"Yes","No")</x:f>
        <x:v>Yes</x:v>
      </x:c>
    </x:row>
    <x:row r="4">
      <x:c r="A4" s="11" t="str">
        <x:v>Chennai</x:v>
      </x:c>
      <x:c r="B4" s="14" t="n">
        <x:f>SUMIFS('City-Category Data'!$D$2:$D$28,'City-Category Data'!$A$2:$A$28,A4)</x:f>
        <x:v>175572</x:v>
      </x:c>
      <x:c r="C4" s="11" t="n">
        <x:f>SUMIFS('City-Category Data'!$E$2:$E$28,'City-Category Data'!$A$2:$A$28,A4)</x:f>
        <x:v>15</x:v>
      </x:c>
      <x:c r="D4" s="11" t="n">
        <x:f>COUNTIFS('City-Category Data'!$A$2:$A$28,A4)</x:f>
        <x:v>3</x:v>
      </x:c>
      <x:c r="E4" s="14" t="n">
        <x:v>175572</x:v>
      </x:c>
      <x:c r="F4" s="11" t="str">
        <x:f>IF(B4=E4,"Yes","No")</x:f>
        <x:v>Yes</x:v>
      </x:c>
    </x:row>
    <x:row r="5">
      <x:c r="A5" s="11" t="str">
        <x:v>Hyderabad</x:v>
      </x:c>
      <x:c r="B5" s="14" t="n">
        <x:f>SUMIFS('City-Category Data'!$D$2:$D$28,'City-Category Data'!$A$2:$A$28,A5)</x:f>
        <x:v>171638</x:v>
      </x:c>
      <x:c r="C5" s="11" t="n">
        <x:f>SUMIFS('City-Category Data'!$E$2:$E$28,'City-Category Data'!$A$2:$A$28,A5)</x:f>
        <x:v>14</x:v>
      </x:c>
      <x:c r="D5" s="11" t="n">
        <x:f>COUNTIFS('City-Category Data'!$A$2:$A$28,A5)</x:f>
        <x:v>5</x:v>
      </x:c>
      <x:c r="E5" s="14" t="n">
        <x:v>171638</x:v>
      </x:c>
      <x:c r="F5" s="11" t="str">
        <x:f>IF(B5=E5,"Yes","No")</x:f>
        <x:v>Yes</x:v>
      </x:c>
    </x:row>
    <x:row r="6">
      <x:c r="A6" s="11" t="str">
        <x:v>Mumbai</x:v>
      </x:c>
      <x:c r="B6" s="14" t="n">
        <x:f>SUMIFS('City-Category Data'!$D$2:$D$28,'City-Category Data'!$A$2:$A$28,A6)</x:f>
        <x:v>151430</x:v>
      </x:c>
      <x:c r="C6" s="11" t="n">
        <x:f>SUMIFS('City-Category Data'!$E$2:$E$28,'City-Category Data'!$A$2:$A$28,A6)</x:f>
        <x:v>13</x:v>
      </x:c>
      <x:c r="D6" s="11" t="n">
        <x:f>COUNTIFS('City-Category Data'!$A$2:$A$28,A6)</x:f>
        <x:v>5</x:v>
      </x:c>
      <x:c r="E6" s="14" t="n">
        <x:v>151430</x:v>
      </x:c>
      <x:c r="F6" s="11" t="str">
        <x:f>IF(B6=E6,"Yes","No")</x:f>
        <x:v>Yes</x:v>
      </x:c>
    </x:row>
    <x:row r="7">
      <x:c r="A7" s="11" t="str">
        <x:v>Delhi NCR</x:v>
      </x:c>
      <x:c r="B7" s="14" t="n">
        <x:f>SUMIFS('City-Category Data'!$D$2:$D$28,'City-Category Data'!$A$2:$A$28,A7)</x:f>
        <x:v>140771</x:v>
      </x:c>
      <x:c r="C7" s="11" t="n">
        <x:f>SUMIFS('City-Category Data'!$E$2:$E$28,'City-Category Data'!$A$2:$A$28,A7)</x:f>
        <x:v>6</x:v>
      </x:c>
      <x:c r="D7" s="11" t="n">
        <x:f>COUNTIFS('City-Category Data'!$A$2:$A$28,A7)</x:f>
        <x:v>5</x:v>
      </x:c>
      <x:c r="E7" s="14" t="n">
        <x:v>140771</x:v>
      </x:c>
      <x:c r="F7" s="11" t="str">
        <x:f>IF(B7=E7,"Yes","No")</x:f>
        <x:v>Yes</x:v>
      </x:c>
    </x:row>
    <x:row r="9">
      <x:c r="A9" s="36" t="str">
        <x:v>All KPI values in columns B-D are formula-driven from the exact Part A city_category_summary.csv import.</x:v>
      </x:c>
      <x:c r="B9" s="36"/>
      <x:c r="C9" s="36"/>
      <x:c r="D9" s="36"/>
      <x:c r="E9" s="36"/>
      <x:c r="F9" s="36"/>
    </x:row>
  </x:sheetData>
  <x:mergeCells>
    <x:mergeCell ref="A9:F9"/>
  </x:mergeCells>
  <x:conditionalFormatting sqref="B2:B7">
    <x:cfRule type="expression" dxfId="0" priority="1">
      <x:formula>B2=MAX($B$2:$B$7)</x:formula>
    </x:cfRule>
    <x:cfRule type="expression" dxfId="1" priority="2">
      <x:formula>B2=MIN($B$2:$B$7)</x:formula>
    </x:cfRule>
  </x:conditionalFormatting>
  <x:conditionalFormatting sqref="F2:F7">
    <x:cfRule type="expression" dxfId="2" priority="3">
      <x:formula>F2="Yes"</x:formula>
    </x:cfRule>
    <x:cfRule type="expression" dxfId="3" priority="4">
      <x:formula>F2="No"</x:formula>
    </x:cfRule>
  </x:conditionalFormatting>
  <x:pageMargins left="0.7" right="0.7" top="0.75" bottom="0.75" header="0.3" footer="0.3"/>
</x:worksheet>
</file>